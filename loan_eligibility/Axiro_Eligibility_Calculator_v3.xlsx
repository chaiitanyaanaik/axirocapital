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lculator" sheetId="2" state="visible" r:id="rId4"/>
    <sheet name="Score Tables" sheetId="3" state="visible" r:id="rId5"/>
    <sheet name="Test Cases" sheetId="4" state="visible" r:id="rId6"/>
    <sheet name="Backend Spe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Last FY revenue from ITR/GST</t>
        </r>
      </text>
    </comment>
  </commentList>
</comments>
</file>

<file path=xl/sharedStrings.xml><?xml version="1.0" encoding="utf-8"?>
<sst xmlns="http://schemas.openxmlformats.org/spreadsheetml/2006/main" count="357" uniqueCount="276">
  <si>
    <t xml:space="preserve">MSME LOAN ELIGIBILITY CALCULATOR — v3</t>
  </si>
  <si>
    <t xml:space="preserve">Tier-based scoring with refined buckets and combined credit history check</t>
  </si>
  <si>
    <t xml:space="preserve">WHAT'S NEW IN v3</t>
  </si>
  <si>
    <t xml:space="preserve">✓ Q1 (Turnover/Sales): Now 5 buckets — &lt;50L, &lt;1Cr, 1-5Cr, 5-10Cr, 10+Cr (more granular for small MSMEs)</t>
  </si>
  <si>
    <t xml:space="preserve">✓ Q2 (Vintage): Now 5 buckets — &lt;1Y, 1-2Y, 2-3Y, 3-5Y, 5+Y (finer granularity in growth zone)</t>
  </si>
  <si>
    <t xml:space="preserve">✓ Q3 (GST Filing): Unchanged — 4 buckets</t>
  </si>
  <si>
    <t xml:space="preserve">✓ Q4 (EMI Burden): Now 5 buckets — None, &lt;10%, 10-25%, 25-40%, &gt;40% (catches over-leverage tier)</t>
  </si>
  <si>
    <t xml:space="preserve">✓ Q5 (Credit History): Reframed to combine personal + business CIBIL/CRIF in user-friendly options</t>
  </si>
  <si>
    <t xml:space="preserve">GENERAL: 'Turnover' renamed to 'Turnover/Sales' for relatability with smaller MSMEs</t>
  </si>
  <si>
    <t xml:space="preserve">WORKBOOK STRUCTURE</t>
  </si>
  <si>
    <t xml:space="preserve">Sheet 1 — README: This page</t>
  </si>
  <si>
    <t xml:space="preserve">Sheet 2 — Calculator: Live calculator. Change yellow inputs to see tier output.</t>
  </si>
  <si>
    <t xml:space="preserve">Sheet 3 — Score Tables: All score values per option. Single source of truth for backend.</t>
  </si>
  <si>
    <t xml:space="preserve">Sheet 4 — Test Cases: 10 sample profiles with expected tier outputs (use as unit tests)</t>
  </si>
  <si>
    <t xml:space="preserve">Sheet 5 — Backend Spec: Pseudocode + API contract for developer</t>
  </si>
  <si>
    <t xml:space="preserve">CORE LOGIC</t>
  </si>
  <si>
    <t xml:space="preserve">1. User selects from 5 dropdowns. Each maps to a SCORE.</t>
  </si>
  <si>
    <t xml:space="preserve">2. Total score = sum of all 5 component scores. Max = 100.</t>
  </si>
  <si>
    <t xml:space="preserve">3. Tier band:</t>
  </si>
  <si>
    <t xml:space="preserve">      80-100 → Very High Eligibility</t>
  </si>
  <si>
    <t xml:space="preserve">      60-79  → High Eligibility</t>
  </si>
  <si>
    <t xml:space="preserve">      40-59  → Medium Eligibility</t>
  </si>
  <si>
    <t xml:space="preserve">      0-39   → Low Eligibility</t>
  </si>
  <si>
    <t xml:space="preserve">4. HARD GATE: If Vintage = '&lt;1 year' AND Credit = 'No credit history at all' → force Tier 4 (Low).</t>
  </si>
  <si>
    <t xml:space="preserve">   Pre-revenue + no bureau = uninvestable for any lender.</t>
  </si>
  <si>
    <t xml:space="preserve">Variable weights:</t>
  </si>
  <si>
    <t xml:space="preserve">      Turnover/Sales  → up to 25 pts</t>
  </si>
  <si>
    <t xml:space="preserve">      Credit History  → up to 25 pts</t>
  </si>
  <si>
    <t xml:space="preserve">      Vintage         → up to 20 pts</t>
  </si>
  <si>
    <t xml:space="preserve">      EMI Burden      → up to 15 pts</t>
  </si>
  <si>
    <t xml:space="preserve">      GST Filing      → up to 15 pts</t>
  </si>
  <si>
    <t xml:space="preserve">      TOTAL           → 100 pts</t>
  </si>
  <si>
    <t xml:space="preserve">MSME LOAN ELIGIBILITY CALCULATOR</t>
  </si>
  <si>
    <t xml:space="preserve">Edit YELLOW cells. See tier output at the bottom.</t>
  </si>
  <si>
    <t xml:space="preserve">USER INPUTS — Change these dropdowns</t>
  </si>
  <si>
    <t xml:space="preserve">#</t>
  </si>
  <si>
    <t xml:space="preserve">Variable</t>
  </si>
  <si>
    <t xml:space="preserve">User Selection</t>
  </si>
  <si>
    <t xml:space="preserve">Index</t>
  </si>
  <si>
    <t xml:space="preserve">Score</t>
  </si>
  <si>
    <t xml:space="preserve">Notes</t>
  </si>
  <si>
    <t xml:space="preserve">1. Annual Turnover/Sales</t>
  </si>
  <si>
    <t xml:space="preserve">Rs. 1 - 5 Cr</t>
  </si>
  <si>
    <t xml:space="preserve">Max 25. Below 1Cr = limited options.</t>
  </si>
  <si>
    <t xml:space="preserve">2. Years in Business</t>
  </si>
  <si>
    <t xml:space="preserve">3 - 5 years</t>
  </si>
  <si>
    <t xml:space="preserve">Max 20. &lt;1Y triggers hard gate.</t>
  </si>
  <si>
    <t xml:space="preserve">3. GST Filing Status</t>
  </si>
  <si>
    <t xml:space="preserve">Filing regularly</t>
  </si>
  <si>
    <t xml:space="preserve">Max 15. Compliance signal.</t>
  </si>
  <si>
    <t xml:space="preserve">4. Existing EMI Burden</t>
  </si>
  <si>
    <t xml:space="preserve">Less than 10% of monthly turnover/sales</t>
  </si>
  <si>
    <t xml:space="preserve">Max 15. &gt;40% = severe over-leverage.</t>
  </si>
  <si>
    <t xml:space="preserve">5. Credit History (Personal + Business)</t>
  </si>
  <si>
    <t xml:space="preserve">Good personal credit (no business loans yet)</t>
  </si>
  <si>
    <t xml:space="preserve">Max 25. Combined personal+business CIBIL/CRIF check.</t>
  </si>
  <si>
    <t xml:space="preserve">STEP 1: Compute Total Score</t>
  </si>
  <si>
    <t xml:space="preserve">Component</t>
  </si>
  <si>
    <t xml:space="preserve">Source</t>
  </si>
  <si>
    <t xml:space="preserve">Weight</t>
  </si>
  <si>
    <t xml:space="preserve">Turnover/Sales Score</t>
  </si>
  <si>
    <t xml:space="preserve">Cell E7</t>
  </si>
  <si>
    <t xml:space="preserve">25 pts</t>
  </si>
  <si>
    <t xml:space="preserve">Vintage Score</t>
  </si>
  <si>
    <t xml:space="preserve">Cell E8</t>
  </si>
  <si>
    <t xml:space="preserve">20 pts</t>
  </si>
  <si>
    <t xml:space="preserve">GST Score</t>
  </si>
  <si>
    <t xml:space="preserve">Cell E9</t>
  </si>
  <si>
    <t xml:space="preserve">15 pts</t>
  </si>
  <si>
    <t xml:space="preserve">EMI Score</t>
  </si>
  <si>
    <t xml:space="preserve">Cell E10</t>
  </si>
  <si>
    <t xml:space="preserve">Credit Score</t>
  </si>
  <si>
    <t xml:space="preserve">Cell E11</t>
  </si>
  <si>
    <t xml:space="preserve">TOTAL SCORE</t>
  </si>
  <si>
    <t xml:space="preserve">Sum of all 5</t>
  </si>
  <si>
    <t xml:space="preserve">100 pts</t>
  </si>
  <si>
    <t xml:space="preserve">Score before hard gate</t>
  </si>
  <si>
    <t xml:space="preserve">STEP 2: Hard Gate Override</t>
  </si>
  <si>
    <t xml:space="preserve">Check</t>
  </si>
  <si>
    <t xml:space="preserve">Logic</t>
  </si>
  <si>
    <t xml:space="preserve">Triggered?</t>
  </si>
  <si>
    <t xml:space="preserve">Effect</t>
  </si>
  <si>
    <t xml:space="preserve">Pre-revenue + No Credit</t>
  </si>
  <si>
    <t xml:space="preserve">Vintage=1 AND Credit=3 (no history)</t>
  </si>
  <si>
    <t xml:space="preserve">If YES → forces tier to Low</t>
  </si>
  <si>
    <t xml:space="preserve">STEP 3: Map Score to Tier</t>
  </si>
  <si>
    <t xml:space="preserve">Output</t>
  </si>
  <si>
    <t xml:space="preserve">Tier Index</t>
  </si>
  <si>
    <t xml:space="preserve">Tier Label</t>
  </si>
  <si>
    <t xml:space="preserve">Adjusted Score</t>
  </si>
  <si>
    <t xml:space="preserve">Total, or 0 if hard gate triggered</t>
  </si>
  <si>
    <t xml:space="preserve">Score band</t>
  </si>
  <si>
    <t xml:space="preserve">1=Very High, 2=High, 3=Medium, 4=Low</t>
  </si>
  <si>
    <t xml:space="preserve">From tier index</t>
  </si>
  <si>
    <t xml:space="preserve">FINAL OUTPUT — What gets shown to the MSME</t>
  </si>
  <si>
    <t xml:space="preserve">ELIGIBILITY TIER</t>
  </si>
  <si>
    <t xml:space="preserve">HEADLINE MESSAGE</t>
  </si>
  <si>
    <t xml:space="preserve">⚠ DISCLAIMER</t>
  </si>
  <si>
    <t xml:space="preserve">Indicative tier only. Final eligibility depends on bank statements, CIBIL, financials, and detailed underwriting.</t>
  </si>
  <si>
    <t xml:space="preserve">SCORE TABLES — Single source of truth for backend</t>
  </si>
  <si>
    <t xml:space="preserve">TABLE 1: Turnover/Sales (max 25 pts)</t>
  </si>
  <si>
    <t xml:space="preserve">Bucket</t>
  </si>
  <si>
    <t xml:space="preserve">Reasoning</t>
  </si>
  <si>
    <t xml:space="preserve">Below Rs. 50 Lakh</t>
  </si>
  <si>
    <t xml:space="preserve">Very small MSME; limited unsecured options</t>
  </si>
  <si>
    <t xml:space="preserve">Rs. 50 Lakh - 1 Cr</t>
  </si>
  <si>
    <t xml:space="preserve">Below most NBFCs' floor; some specialized programs</t>
  </si>
  <si>
    <t xml:space="preserve">Sweet spot zone; multiple lender options</t>
  </si>
  <si>
    <t xml:space="preserve">Rs. 5 - 10 Cr</t>
  </si>
  <si>
    <t xml:space="preserve">Premium MSME; banks engage actively</t>
  </si>
  <si>
    <t xml:space="preserve">Above Rs. 10 Cr</t>
  </si>
  <si>
    <t xml:space="preserve">Top of MSME segment; full lender market</t>
  </si>
  <si>
    <t xml:space="preserve">TABLE 2: Years in Business (max 20 pts)</t>
  </si>
  <si>
    <t xml:space="preserve">Less than 1 year</t>
  </si>
  <si>
    <t xml:space="preserve">Triggers hard gate when combined with no credit</t>
  </si>
  <si>
    <t xml:space="preserve">1 - 2 years</t>
  </si>
  <si>
    <t xml:space="preserve">NBFCs OK with caps; banks reject</t>
  </si>
  <si>
    <t xml:space="preserve">2 - 3 years</t>
  </si>
  <si>
    <t xml:space="preserve">Acceptable to most lenders</t>
  </si>
  <si>
    <t xml:space="preserve">Standard band; full lender access</t>
  </si>
  <si>
    <t xml:space="preserve">More than 5 years</t>
  </si>
  <si>
    <t xml:space="preserve">Saison-preferred; max points</t>
  </si>
  <si>
    <t xml:space="preserve">TABLE 3: GST Filing (max 15 pts)</t>
  </si>
  <si>
    <t xml:space="preserve">Saison/Chola gold standard</t>
  </si>
  <si>
    <t xml:space="preserve">Mostly regular (1-2 month delays)</t>
  </si>
  <si>
    <t xml:space="preserve">Acceptable; minor lender penalty</t>
  </si>
  <si>
    <t xml:space="preserve">Multiple delays / pending</t>
  </si>
  <si>
    <t xml:space="preserve">Saison flags &gt;3M delay in 12M as risk</t>
  </si>
  <si>
    <t xml:space="preserve">Not GST registered</t>
  </si>
  <si>
    <t xml:space="preserve">Restricted to non-GST programs</t>
  </si>
  <si>
    <t xml:space="preserve">TABLE 4: EMI Burden (max 15 pts)</t>
  </si>
  <si>
    <t xml:space="preserve">No existing loans</t>
  </si>
  <si>
    <t xml:space="preserve">Clean slate; best FOIR profile</t>
  </si>
  <si>
    <t xml:space="preserve">Healthy; standard</t>
  </si>
  <si>
    <t xml:space="preserve">10 - 25% of monthly turnover/sales</t>
  </si>
  <si>
    <t xml:space="preserve">Moderate; FOIR getting tight</t>
  </si>
  <si>
    <t xml:space="preserve">25 - 40% of monthly turnover/sales</t>
  </si>
  <si>
    <t xml:space="preserve">Severe FOIR pressure; lenders cautious</t>
  </si>
  <si>
    <t xml:space="preserve">More than 40% of monthly turnover/sales</t>
  </si>
  <si>
    <t xml:space="preserve">Over-leveraged; most lenders reject</t>
  </si>
  <si>
    <t xml:space="preserve">TABLE 5: Credit History — Combined Personal + Business (max 25 pts)</t>
  </si>
  <si>
    <t xml:space="preserve">Both clean - good personal + business credit</t>
  </si>
  <si>
    <t xml:space="preserve">Best case: CIBIL 700+ AND clean business CMR. Saison gold.</t>
  </si>
  <si>
    <t xml:space="preserve">Common for newer Pvt Ltds. Personal bureau is enough.</t>
  </si>
  <si>
    <t xml:space="preserve">No credit history - never taken any loan</t>
  </si>
  <si>
    <t xml:space="preserve">NTC. Limited to specialized/secured programs.</t>
  </si>
  <si>
    <t xml:space="preserve">Has past defaults / missed payments / settlements</t>
  </si>
  <si>
    <t xml:space="preserve">Severe red flag. Most lenders reject.</t>
  </si>
  <si>
    <t xml:space="preserve">TABLE 6: Total Score → Tier Mapping</t>
  </si>
  <si>
    <t xml:space="preserve">Score Band</t>
  </si>
  <si>
    <t xml:space="preserve">Tier</t>
  </si>
  <si>
    <t xml:space="preserve">Headline Message</t>
  </si>
  <si>
    <t xml:space="preserve">80 - 100</t>
  </si>
  <si>
    <t xml:space="preserve">Very High</t>
  </si>
  <si>
    <t xml:space="preserve">You're in the top tier.</t>
  </si>
  <si>
    <t xml:space="preserve">60 - 79</t>
  </si>
  <si>
    <t xml:space="preserve">High</t>
  </si>
  <si>
    <t xml:space="preserve">You qualify well.</t>
  </si>
  <si>
    <t xml:space="preserve">40 - 59</t>
  </si>
  <si>
    <t xml:space="preserve">Medium</t>
  </si>
  <si>
    <t xml:space="preserve">Eligibility with conditions.</t>
  </si>
  <si>
    <t xml:space="preserve">0 - 39</t>
  </si>
  <si>
    <t xml:space="preserve">Low</t>
  </si>
  <si>
    <t xml:space="preserve">Build readiness first.</t>
  </si>
  <si>
    <t xml:space="preserve">HARD GATE</t>
  </si>
  <si>
    <t xml:space="preserve">4</t>
  </si>
  <si>
    <t xml:space="preserve">If Vintage=1 (less than 1 year) AND Credit=3 (no credit history) → force Tier 4</t>
  </si>
  <si>
    <t xml:space="preserve">TEST CASES — Backend should produce these tier outputs</t>
  </si>
  <si>
    <t xml:space="preserve">TEST SCENARIOS</t>
  </si>
  <si>
    <t xml:space="preserve">Turnover/Sales</t>
  </si>
  <si>
    <t xml:space="preserve">Vintage</t>
  </si>
  <si>
    <t xml:space="preserve">GST</t>
  </si>
  <si>
    <t xml:space="preserve">EMI</t>
  </si>
  <si>
    <t xml:space="preserve">Credit</t>
  </si>
  <si>
    <t xml:space="preserve">Expected Tier</t>
  </si>
  <si>
    <t xml:space="preserve">Description</t>
  </si>
  <si>
    <t xml:space="preserve">1-5 Cr</t>
  </si>
  <si>
    <t xml:space="preserve">3-5 yrs</t>
  </si>
  <si>
    <t xml:space="preserve">Regular</t>
  </si>
  <si>
    <t xml:space="preserve">&lt;10%</t>
  </si>
  <si>
    <t xml:space="preserve">Both clean</t>
  </si>
  <si>
    <t xml:space="preserve">Established mid-MSME, ideal profile</t>
  </si>
  <si>
    <t xml:space="preserve">5-10 Cr</t>
  </si>
  <si>
    <t xml:space="preserve">5+ yrs</t>
  </si>
  <si>
    <t xml:space="preserve">No loans</t>
  </si>
  <si>
    <t xml:space="preserve">Premium MSME — full marks</t>
  </si>
  <si>
    <t xml:space="preserve">2-3 yrs</t>
  </si>
  <si>
    <t xml:space="preserve">Good personal</t>
  </si>
  <si>
    <t xml:space="preserve">Standard healthy profile</t>
  </si>
  <si>
    <t xml:space="preserve">&lt;50L</t>
  </si>
  <si>
    <t xml:space="preserve">&lt;1 yr</t>
  </si>
  <si>
    <t xml:space="preserve">Mostly</t>
  </si>
  <si>
    <t xml:space="preserve">Tiny + young; not gated since credit OK</t>
  </si>
  <si>
    <t xml:space="preserve">No history</t>
  </si>
  <si>
    <t xml:space="preserve">NTC but otherwise solid</t>
  </si>
  <si>
    <t xml:space="preserve">Multiple delays</t>
  </si>
  <si>
    <t xml:space="preserve">10-25%</t>
  </si>
  <si>
    <t xml:space="preserve">Compromised but turnover saves it</t>
  </si>
  <si>
    <t xml:space="preserve">&gt;10 Cr</t>
  </si>
  <si>
    <t xml:space="preserve">Top of funnel</t>
  </si>
  <si>
    <t xml:space="preserve">Has defaults</t>
  </si>
  <si>
    <t xml:space="preserve">Bad credit but turnover good</t>
  </si>
  <si>
    <t xml:space="preserve">1-2 yrs</t>
  </si>
  <si>
    <t xml:space="preserve">Young + some delays</t>
  </si>
  <si>
    <t xml:space="preserve">Not registered</t>
  </si>
  <si>
    <t xml:space="preserve">&gt;40%</t>
  </si>
  <si>
    <t xml:space="preserve">HARD GATE: pre-revenue + no credit</t>
  </si>
  <si>
    <t xml:space="preserve">BACKEND IMPLEMENTATION SPEC — v3</t>
  </si>
  <si>
    <t xml:space="preserve">API ENDPOINT</t>
  </si>
  <si>
    <t xml:space="preserve">POST /api/v1/eligibility/check</t>
  </si>
  <si>
    <t xml:space="preserve">REQUEST BODY:</t>
  </si>
  <si>
    <t xml:space="preserve">{</t>
  </si>
  <si>
    <t xml:space="preserve">  "turnover_bucket": 1-5,           // 1=&lt;50L, 2=50L-1Cr, 3=1-5Cr, 4=5-10Cr, 5=&gt;10Cr</t>
  </si>
  <si>
    <t xml:space="preserve">  "vintage_bucket":  1-5,           // 1=&lt;1Y, 2=1-2Y, 3=2-3Y, 4=3-5Y, 5=&gt;5Y</t>
  </si>
  <si>
    <t xml:space="preserve">  "gst_bucket":      1-4,           // 1=Regular, 2=Mostly, 3=Delays, 4=Not registered</t>
  </si>
  <si>
    <t xml:space="preserve">  "emi_bucket":      1-5,           // 1=None, 2=&lt;10%, 3=10-25%, 4=25-40%, 5=&gt;40%</t>
  </si>
  <si>
    <t xml:space="preserve">  "credit_bucket":   1-4,           // 1=Both clean, 2=Personal only, 3=No history, 4=Has defaults</t>
  </si>
  <si>
    <t xml:space="preserve">  "lead_metadata": {"phone": "...", "email": "...", "company_name": "..."}</t>
  </si>
  <si>
    <t xml:space="preserve">}</t>
  </si>
  <si>
    <t xml:space="preserve">RESPONSE:</t>
  </si>
  <si>
    <t xml:space="preserve">  "tier": 1-4,                      // 1=Very High, 2=High, 3=Medium, 4=Low</t>
  </si>
  <si>
    <t xml:space="preserve">  "tier_label": "Very High Eligibility",</t>
  </si>
  <si>
    <t xml:space="preserve">  "headline": "You're in the top tier.",</t>
  </si>
  <si>
    <t xml:space="preserve">  "score": 87,                      // Internal-only, do NOT show on UI</t>
  </si>
  <si>
    <t xml:space="preserve">  "color": "green",                 // green | green | amber | red</t>
  </si>
  <si>
    <t xml:space="preserve">  "request_id": "uuid"</t>
  </si>
  <si>
    <t xml:space="preserve">PSEUDOCODE</t>
  </si>
  <si>
    <t xml:space="preserve">function calculateTier(turnover_b, vintage_b, gst_b, emi_b, credit_b):</t>
  </si>
  <si>
    <t xml:space="preserve">    # Score lookup tables (constants — match Excel &amp; widget)</t>
  </si>
  <si>
    <t xml:space="preserve">    TURNOVER_SCORE = [4, 10, 18, 23, 25]      # 5 buckets, max 25</t>
  </si>
  <si>
    <t xml:space="preserve">    VINTAGE_SCORE  = [0, 8, 14, 18, 20]       # 5 buckets, max 20</t>
  </si>
  <si>
    <t xml:space="preserve">    GST_SCORE      = [15, 11, 5, 6]           # 4 buckets, max 15</t>
  </si>
  <si>
    <t xml:space="preserve">    EMI_SCORE      = [15, 13, 9, 4, 1]        # 5 buckets, max 15</t>
  </si>
  <si>
    <t xml:space="preserve">    CREDIT_SCORE   = [25, 20, 10, 4]          # 4 buckets, max 25</t>
  </si>
  <si>
    <t xml:space="preserve">    # Step 1: Sum component scores</t>
  </si>
  <si>
    <t xml:space="preserve">    score = (</t>
  </si>
  <si>
    <t xml:space="preserve">        TURNOVER_SCORE[turnover_b - 1] +</t>
  </si>
  <si>
    <t xml:space="preserve">        VINTAGE_SCORE[vintage_b - 1] +</t>
  </si>
  <si>
    <t xml:space="preserve">        GST_SCORE[gst_b - 1] +</t>
  </si>
  <si>
    <t xml:space="preserve">        EMI_SCORE[emi_b - 1] +</t>
  </si>
  <si>
    <t xml:space="preserve">        CREDIT_SCORE[credit_b - 1]</t>
  </si>
  <si>
    <t xml:space="preserve">    )</t>
  </si>
  <si>
    <t xml:space="preserve">    # Step 2: Hard gate — vintage&lt;1Y AND no credit history</t>
  </si>
  <si>
    <t xml:space="preserve">    if vintage_b == 1 and credit_b == 3:</t>
  </si>
  <si>
    <t xml:space="preserve">        score = 0</t>
  </si>
  <si>
    <t xml:space="preserve">        tier  = 4</t>
  </si>
  <si>
    <t xml:space="preserve">    else:</t>
  </si>
  <si>
    <t xml:space="preserve">        # Step 3: Score → tier</t>
  </si>
  <si>
    <t xml:space="preserve">        if   score &gt;= 80: tier = 1   # Very High</t>
  </si>
  <si>
    <t xml:space="preserve">        elif score &gt;= 60: tier = 2   # High</t>
  </si>
  <si>
    <t xml:space="preserve">        elif score &gt;= 40: tier = 3   # Medium</t>
  </si>
  <si>
    <t xml:space="preserve">        else:             tier = 4   # Low</t>
  </si>
  <si>
    <t xml:space="preserve">    # Step 4: Build response</t>
  </si>
  <si>
    <t xml:space="preserve">    TIER_LABELS    = ['Very High Eligibility', 'High Eligibility', 'Medium Eligibility', 'Low Eligibility']</t>
  </si>
  <si>
    <t xml:space="preserve">    TIER_HEADLINES = [</t>
  </si>
  <si>
    <t xml:space="preserve">        "You're in the top tier.",</t>
  </si>
  <si>
    <t xml:space="preserve">        "You qualify well.",</t>
  </si>
  <si>
    <t xml:space="preserve">        "Eligibility with conditions.",</t>
  </si>
  <si>
    <t xml:space="preserve">        "Build readiness first."</t>
  </si>
  <si>
    <t xml:space="preserve">    ]</t>
  </si>
  <si>
    <t xml:space="preserve">    TIER_COLORS = ['green', 'green', 'amber', 'red']</t>
  </si>
  <si>
    <t xml:space="preserve">    return {</t>
  </si>
  <si>
    <t xml:space="preserve">        'tier': tier,</t>
  </si>
  <si>
    <t xml:space="preserve">        'tier_label': TIER_LABELS[tier - 1],</t>
  </si>
  <si>
    <t xml:space="preserve">        'headline':   TIER_HEADLINES[tier - 1],</t>
  </si>
  <si>
    <t xml:space="preserve">        'score':      score,           # internal-only</t>
  </si>
  <si>
    <t xml:space="preserve">        'color':      TIER_COLORS[tier - 1]</t>
  </si>
  <si>
    <t xml:space="preserve">    }</t>
  </si>
  <si>
    <t xml:space="preserve">VALIDATION &amp; EDGE CASES</t>
  </si>
  <si>
    <t xml:space="preserve">1. INPUT VALIDATION: All buckets must be in valid ranges. 400 if not.</t>
  </si>
  <si>
    <t xml:space="preserve">2. HARD GATE: vintage_b=1 AND credit_b=3 forces tier=4. This catches pre-revenue + NTC cases.</t>
  </si>
  <si>
    <t xml:space="preserve">3. RATE LIMITING: 10 requests per IP per hour.</t>
  </si>
  <si>
    <t xml:space="preserve">4. ANALYTICS: Log all 5 inputs + tier + score + lead_metadata for funnel analysis.</t>
  </si>
  <si>
    <t xml:space="preserve">   Score (not just tier) helps identify near-miss leads to nurture.</t>
  </si>
  <si>
    <t xml:space="preserve">5. CACHING: Same inputs always produce same output. Cache 1 hour.</t>
  </si>
  <si>
    <t xml:space="preserve">6. UI MUST NOT DISPLAY THE SCORE — only tier label + headline. Score is internal-only.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</si>
</sst>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3A5C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i val="true"/>
      <sz val="10"/>
      <color rgb="FF11182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i val="true"/>
      <sz val="10"/>
      <color rgb="FFB91C1C"/>
      <name val="Arial"/>
      <family val="0"/>
      <charset val="1"/>
    </font>
    <font>
      <b val="true"/>
      <sz val="18"/>
      <color rgb="FF059669"/>
      <name val="Arial"/>
      <family val="0"/>
      <charset val="1"/>
    </font>
    <font>
      <i val="true"/>
      <sz val="14"/>
      <color rgb="FF111827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sz val="9.5"/>
      <color rgb="FF111827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1B3A5C"/>
        <bgColor rgb="FF333333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3F4F6"/>
      </patternFill>
    </fill>
    <fill>
      <patternFill patternType="solid">
        <fgColor rgb="FFDBEAFE"/>
        <bgColor rgb="FFF3F4F6"/>
      </patternFill>
    </fill>
    <fill>
      <patternFill patternType="solid">
        <fgColor rgb="FFD1FAE5"/>
        <bgColor rgb="FFDBEAFE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6366F1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59E0B"/>
      <rgbColor rgb="FFD97706"/>
      <rgbColor rgb="FF6B7280"/>
      <rgbColor rgb="FF969696"/>
      <rgbColor rgb="FF1B3A5C"/>
      <rgbColor rgb="FF10B981"/>
      <rgbColor rgb="FF111827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2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90.25" hidden="false" customHeight="false" outlineLevel="0" collapsed="false">
      <c r="A5" s="3" t="s">
        <v>2</v>
      </c>
      <c r="B5" s="3"/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4" t="s">
        <v>8</v>
      </c>
    </row>
    <row r="16" customFormat="false" ht="128.35" hidden="false" customHeight="false" outlineLevel="0" collapsed="false">
      <c r="A16" s="3" t="s">
        <v>9</v>
      </c>
      <c r="B16" s="3"/>
    </row>
    <row r="18" customFormat="false" ht="15" hidden="false" customHeight="false" outlineLevel="0" collapsed="false">
      <c r="B18" s="5" t="s">
        <v>10</v>
      </c>
    </row>
    <row r="19" customFormat="false" ht="15" hidden="false" customHeight="false" outlineLevel="0" collapsed="false">
      <c r="B19" s="5" t="s">
        <v>11</v>
      </c>
    </row>
    <row r="20" customFormat="false" ht="15" hidden="false" customHeight="false" outlineLevel="0" collapsed="false">
      <c r="B20" s="5" t="s">
        <v>12</v>
      </c>
    </row>
    <row r="21" customFormat="false" ht="15" hidden="false" customHeight="false" outlineLevel="0" collapsed="false">
      <c r="B21" s="5" t="s">
        <v>13</v>
      </c>
    </row>
    <row r="22" customFormat="false" ht="15" hidden="false" customHeight="false" outlineLevel="0" collapsed="false">
      <c r="B22" s="5" t="s">
        <v>14</v>
      </c>
    </row>
    <row r="25" customFormat="false" ht="64.9" hidden="false" customHeight="false" outlineLevel="0" collapsed="false">
      <c r="A25" s="3" t="s">
        <v>15</v>
      </c>
      <c r="B25" s="3"/>
    </row>
    <row r="27" customFormat="false" ht="15" hidden="false" customHeight="false" outlineLevel="0" collapsed="false">
      <c r="B27" s="6" t="s">
        <v>16</v>
      </c>
    </row>
    <row r="28" customFormat="false" ht="15" hidden="false" customHeight="false" outlineLevel="0" collapsed="false">
      <c r="B28" s="6" t="s">
        <v>17</v>
      </c>
    </row>
    <row r="29" customFormat="false" ht="15" hidden="false" customHeight="false" outlineLevel="0" collapsed="false">
      <c r="B29" s="6" t="s">
        <v>18</v>
      </c>
    </row>
    <row r="30" customFormat="false" ht="15" hidden="false" customHeight="false" outlineLevel="0" collapsed="false">
      <c r="B30" s="6" t="s">
        <v>19</v>
      </c>
    </row>
    <row r="31" customFormat="false" ht="15" hidden="false" customHeight="false" outlineLevel="0" collapsed="false">
      <c r="B31" s="6" t="s">
        <v>20</v>
      </c>
    </row>
    <row r="32" customFormat="false" ht="15" hidden="false" customHeight="false" outlineLevel="0" collapsed="false">
      <c r="B32" s="6" t="s">
        <v>21</v>
      </c>
    </row>
    <row r="33" customFormat="false" ht="15" hidden="false" customHeight="false" outlineLevel="0" collapsed="false">
      <c r="B33" s="6" t="s">
        <v>22</v>
      </c>
    </row>
    <row r="34" customFormat="false" ht="15" hidden="false" customHeight="false" outlineLevel="0" collapsed="false">
      <c r="B34" s="6"/>
    </row>
    <row r="35" customFormat="false" ht="15" hidden="false" customHeight="false" outlineLevel="0" collapsed="false">
      <c r="B35" s="6" t="s">
        <v>23</v>
      </c>
    </row>
    <row r="36" customFormat="false" ht="15" hidden="false" customHeight="false" outlineLevel="0" collapsed="false">
      <c r="B36" s="6" t="s">
        <v>24</v>
      </c>
    </row>
    <row r="37" customFormat="false" ht="15" hidden="false" customHeight="false" outlineLevel="0" collapsed="false">
      <c r="B37" s="6"/>
    </row>
    <row r="38" customFormat="false" ht="15" hidden="false" customHeight="false" outlineLevel="0" collapsed="false">
      <c r="B38" s="6" t="s">
        <v>25</v>
      </c>
    </row>
    <row r="39" customFormat="false" ht="15" hidden="false" customHeight="false" outlineLevel="0" collapsed="false">
      <c r="B39" s="6" t="s">
        <v>26</v>
      </c>
    </row>
    <row r="40" customFormat="false" ht="15" hidden="false" customHeight="false" outlineLevel="0" collapsed="false">
      <c r="B40" s="6" t="s">
        <v>27</v>
      </c>
    </row>
    <row r="41" customFormat="false" ht="15" hidden="false" customHeight="false" outlineLevel="0" collapsed="false">
      <c r="B41" s="6" t="s">
        <v>28</v>
      </c>
    </row>
    <row r="42" customFormat="false" ht="15" hidden="false" customHeight="false" outlineLevel="0" collapsed="false">
      <c r="B42" s="6" t="s">
        <v>29</v>
      </c>
    </row>
    <row r="43" customFormat="false" ht="15" hidden="false" customHeight="false" outlineLevel="0" collapsed="false">
      <c r="B43" s="6" t="s">
        <v>30</v>
      </c>
    </row>
    <row r="44" customFormat="false" ht="15" hidden="false" customHeight="false" outlineLevel="0" collapsed="false">
      <c r="B44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2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48"/>
    <col collapsed="false" customWidth="true" hidden="false" outlineLevel="0" max="5" min="4" style="0" width="18"/>
    <col collapsed="false" customWidth="true" hidden="false" outlineLevel="0" max="6" min="6" style="0" width="36"/>
  </cols>
  <sheetData>
    <row r="2" customFormat="false" ht="19.7" hidden="false" customHeight="false" outlineLevel="0" collapsed="false">
      <c r="B2" s="7" t="s">
        <v>32</v>
      </c>
    </row>
    <row r="3" customFormat="false" ht="15" hidden="false" customHeight="false" outlineLevel="0" collapsed="false">
      <c r="B3" s="8" t="s">
        <v>33</v>
      </c>
    </row>
    <row r="5" customFormat="false" ht="191.75" hidden="false" customHeight="false" outlineLevel="0" collapsed="false">
      <c r="A5" s="3" t="s">
        <v>34</v>
      </c>
      <c r="B5" s="3"/>
      <c r="C5" s="3"/>
      <c r="D5" s="3"/>
      <c r="E5" s="3"/>
      <c r="F5" s="3"/>
    </row>
    <row r="6" customFormat="false" ht="15" hidden="false" customHeight="false" outlineLevel="0" collapsed="false">
      <c r="A6" s="9" t="s">
        <v>35</v>
      </c>
      <c r="B6" s="9" t="s">
        <v>36</v>
      </c>
      <c r="C6" s="9" t="s">
        <v>37</v>
      </c>
      <c r="D6" s="9" t="s">
        <v>38</v>
      </c>
      <c r="E6" s="9" t="s">
        <v>39</v>
      </c>
      <c r="F6" s="9" t="s">
        <v>40</v>
      </c>
    </row>
    <row r="7" customFormat="false" ht="15" hidden="false" customHeight="false" outlineLevel="0" collapsed="false">
      <c r="B7" s="10" t="s">
        <v>41</v>
      </c>
      <c r="C7" s="11" t="s">
        <v>42</v>
      </c>
      <c r="D7" s="12" t="n">
        <f aca="false">MATCH(C7,{"Below Rs. 50 Lakh","Rs. 50 Lakh - 1 Cr","Rs. 1 - 5 Cr","Rs. 5 - 10 Cr","Above Rs. 10 Cr"},0)</f>
        <v>3</v>
      </c>
      <c r="E7" s="13" t="n">
        <f aca="false">CHOOSE(D7, 4, 10, 18, 23, 25)</f>
        <v>18</v>
      </c>
      <c r="F7" s="14" t="s">
        <v>43</v>
      </c>
    </row>
    <row r="8" customFormat="false" ht="15" hidden="false" customHeight="false" outlineLevel="0" collapsed="false">
      <c r="B8" s="10" t="s">
        <v>44</v>
      </c>
      <c r="C8" s="11" t="s">
        <v>45</v>
      </c>
      <c r="D8" s="12" t="n">
        <f aca="false">MATCH(C8,{"Less than 1 year","1 - 2 years","2 - 3 years","3 - 5 years","More than 5 years"},0)</f>
        <v>4</v>
      </c>
      <c r="E8" s="13" t="n">
        <f aca="false">CHOOSE(D8, 0, 8, 14, 18, 20)</f>
        <v>18</v>
      </c>
      <c r="F8" s="14" t="s">
        <v>46</v>
      </c>
    </row>
    <row r="9" customFormat="false" ht="15" hidden="false" customHeight="false" outlineLevel="0" collapsed="false">
      <c r="B9" s="10" t="s">
        <v>47</v>
      </c>
      <c r="C9" s="11" t="s">
        <v>48</v>
      </c>
      <c r="D9" s="12" t="n">
        <f aca="false">MATCH(C9,{"Filing regularly","Mostly regular (1-2 month delays)","Multiple delays / pending","Not GST registered"},0)</f>
        <v>1</v>
      </c>
      <c r="E9" s="13" t="n">
        <f aca="false">CHOOSE(D9, 15, 11, 5, 6)</f>
        <v>15</v>
      </c>
      <c r="F9" s="14" t="s">
        <v>49</v>
      </c>
    </row>
    <row r="10" customFormat="false" ht="15" hidden="false" customHeight="false" outlineLevel="0" collapsed="false">
      <c r="B10" s="10" t="s">
        <v>50</v>
      </c>
      <c r="C10" s="11" t="s">
        <v>51</v>
      </c>
      <c r="D10" s="12" t="n">
        <f aca="false">MATCH(C10,{"No existing loans","Less than 10% of monthly turnover/sales","10 - 25% of monthly turnover/sales","25 - 40% of monthly turnover/sales","More than 40% of monthly turnover/sales"},0)</f>
        <v>2</v>
      </c>
      <c r="E10" s="13" t="n">
        <f aca="false">CHOOSE(D10, 15, 13, 9, 4, 1)</f>
        <v>13</v>
      </c>
      <c r="F10" s="14" t="s">
        <v>52</v>
      </c>
    </row>
    <row r="11" customFormat="false" ht="23.85" hidden="false" customHeight="false" outlineLevel="0" collapsed="false">
      <c r="B11" s="10" t="s">
        <v>53</v>
      </c>
      <c r="C11" s="11" t="s">
        <v>54</v>
      </c>
      <c r="D11" s="12" t="n">
        <f aca="false">MATCH(C11,{"Both clean - good personal + business credit","Good personal credit (no business loans yet)","No credit history - never taken any loan","Has past defaults / missed payments / settlements"},0)</f>
        <v>2</v>
      </c>
      <c r="E11" s="13" t="n">
        <f aca="false">CHOOSE(D11, 25, 20, 10, 4)</f>
        <v>20</v>
      </c>
      <c r="F11" s="14" t="s">
        <v>55</v>
      </c>
    </row>
    <row r="13" customFormat="false" ht="128.35" hidden="false" customHeight="false" outlineLevel="0" collapsed="false">
      <c r="A13" s="3" t="s">
        <v>56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9"/>
      <c r="B14" s="9" t="s">
        <v>57</v>
      </c>
      <c r="C14" s="9" t="s">
        <v>58</v>
      </c>
      <c r="D14" s="9" t="s">
        <v>59</v>
      </c>
      <c r="E14" s="9" t="s">
        <v>39</v>
      </c>
      <c r="F14" s="9" t="s">
        <v>40</v>
      </c>
    </row>
    <row r="15" customFormat="false" ht="15" hidden="false" customHeight="false" outlineLevel="0" collapsed="false">
      <c r="B15" s="10" t="s">
        <v>60</v>
      </c>
      <c r="C15" s="15" t="s">
        <v>61</v>
      </c>
      <c r="D15" s="16" t="s">
        <v>62</v>
      </c>
      <c r="E15" s="17" t="n">
        <f aca="false">E7</f>
        <v>18</v>
      </c>
      <c r="F15" s="18"/>
    </row>
    <row r="16" customFormat="false" ht="15" hidden="false" customHeight="false" outlineLevel="0" collapsed="false">
      <c r="B16" s="10" t="s">
        <v>63</v>
      </c>
      <c r="C16" s="15" t="s">
        <v>64</v>
      </c>
      <c r="D16" s="16" t="s">
        <v>65</v>
      </c>
      <c r="E16" s="17" t="n">
        <f aca="false">E8</f>
        <v>18</v>
      </c>
      <c r="F16" s="18"/>
    </row>
    <row r="17" customFormat="false" ht="15" hidden="false" customHeight="false" outlineLevel="0" collapsed="false">
      <c r="B17" s="10" t="s">
        <v>66</v>
      </c>
      <c r="C17" s="15" t="s">
        <v>67</v>
      </c>
      <c r="D17" s="16" t="s">
        <v>68</v>
      </c>
      <c r="E17" s="17" t="n">
        <f aca="false">E9</f>
        <v>15</v>
      </c>
      <c r="F17" s="18"/>
    </row>
    <row r="18" customFormat="false" ht="15" hidden="false" customHeight="false" outlineLevel="0" collapsed="false">
      <c r="B18" s="10" t="s">
        <v>69</v>
      </c>
      <c r="C18" s="15" t="s">
        <v>70</v>
      </c>
      <c r="D18" s="16" t="s">
        <v>68</v>
      </c>
      <c r="E18" s="17" t="n">
        <f aca="false">E10</f>
        <v>13</v>
      </c>
      <c r="F18" s="18"/>
    </row>
    <row r="19" customFormat="false" ht="15" hidden="false" customHeight="false" outlineLevel="0" collapsed="false">
      <c r="B19" s="10" t="s">
        <v>71</v>
      </c>
      <c r="C19" s="15" t="s">
        <v>72</v>
      </c>
      <c r="D19" s="16" t="s">
        <v>62</v>
      </c>
      <c r="E19" s="17" t="n">
        <f aca="false">E11</f>
        <v>20</v>
      </c>
      <c r="F19" s="18"/>
    </row>
    <row r="20" customFormat="false" ht="17.35" hidden="false" customHeight="false" outlineLevel="0" collapsed="false">
      <c r="B20" s="19" t="s">
        <v>73</v>
      </c>
      <c r="C20" s="15" t="s">
        <v>74</v>
      </c>
      <c r="D20" s="20" t="s">
        <v>75</v>
      </c>
      <c r="E20" s="21" t="n">
        <f aca="false">SUM(E15:E19)</f>
        <v>84</v>
      </c>
      <c r="F20" s="14" t="s">
        <v>76</v>
      </c>
    </row>
    <row r="22" customFormat="false" ht="128.35" hidden="false" customHeight="false" outlineLevel="0" collapsed="false">
      <c r="A22" s="3" t="s">
        <v>77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9"/>
      <c r="B23" s="9" t="s">
        <v>78</v>
      </c>
      <c r="C23" s="9" t="s">
        <v>79</v>
      </c>
      <c r="D23" s="9"/>
      <c r="E23" s="9" t="s">
        <v>80</v>
      </c>
      <c r="F23" s="9" t="s">
        <v>81</v>
      </c>
    </row>
    <row r="24" customFormat="false" ht="15" hidden="false" customHeight="false" outlineLevel="0" collapsed="false">
      <c r="B24" s="10" t="s">
        <v>82</v>
      </c>
      <c r="C24" s="15" t="s">
        <v>83</v>
      </c>
      <c r="D24" s="18"/>
      <c r="E24" s="22" t="str">
        <f aca="false">IF(AND(D8=1,D11=3), "YES", "no")</f>
        <v>no</v>
      </c>
      <c r="F24" s="23" t="s">
        <v>84</v>
      </c>
    </row>
    <row r="26" customFormat="false" ht="128.35" hidden="false" customHeight="false" outlineLevel="0" collapsed="false">
      <c r="A26" s="3" t="s">
        <v>85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A27" s="9"/>
      <c r="B27" s="9" t="s">
        <v>86</v>
      </c>
      <c r="C27" s="9" t="s">
        <v>79</v>
      </c>
      <c r="D27" s="9"/>
      <c r="E27" s="9" t="s">
        <v>87</v>
      </c>
      <c r="F27" s="9" t="s">
        <v>88</v>
      </c>
    </row>
    <row r="28" customFormat="false" ht="15" hidden="false" customHeight="false" outlineLevel="0" collapsed="false">
      <c r="B28" s="10" t="s">
        <v>89</v>
      </c>
      <c r="C28" s="15" t="s">
        <v>90</v>
      </c>
      <c r="D28" s="18"/>
      <c r="E28" s="17" t="n">
        <f aca="false">IF(E24="YES", 0, E20)</f>
        <v>84</v>
      </c>
      <c r="F28" s="18"/>
    </row>
    <row r="29" customFormat="false" ht="15" hidden="false" customHeight="false" outlineLevel="0" collapsed="false">
      <c r="B29" s="10" t="s">
        <v>87</v>
      </c>
      <c r="C29" s="15" t="s">
        <v>91</v>
      </c>
      <c r="D29" s="18"/>
      <c r="E29" s="17" t="n">
        <f aca="false">IF(E28&gt;=80,1,IF(E28&gt;=60,2,IF(E28&gt;=40,3,4)))</f>
        <v>1</v>
      </c>
      <c r="F29" s="14" t="s">
        <v>92</v>
      </c>
    </row>
    <row r="30" customFormat="false" ht="15" hidden="false" customHeight="false" outlineLevel="0" collapsed="false">
      <c r="B30" s="10" t="s">
        <v>88</v>
      </c>
      <c r="C30" s="15" t="s">
        <v>93</v>
      </c>
      <c r="D30" s="18"/>
      <c r="E30" s="18"/>
      <c r="F30" s="24" t="str">
        <f aca="false">CHOOSE(E29, "Very High Eligibility", "High Eligibility", "Medium Eligibility", "Low Eligibility")</f>
        <v>Very High Eligibility</v>
      </c>
    </row>
    <row r="32" customFormat="false" ht="217.15" hidden="false" customHeight="false" outlineLevel="0" collapsed="false">
      <c r="A32" s="3" t="s">
        <v>94</v>
      </c>
      <c r="B32" s="3"/>
      <c r="C32" s="3"/>
      <c r="D32" s="3"/>
      <c r="E32" s="3"/>
      <c r="F32" s="3"/>
    </row>
    <row r="33" customFormat="false" ht="39.75" hidden="false" customHeight="true" outlineLevel="0" collapsed="false">
      <c r="B33" s="10" t="s">
        <v>95</v>
      </c>
      <c r="C33" s="25" t="str">
        <f aca="false">CHOOSE(E29, "★ VERY HIGH ELIGIBILITY", "✓✓ HIGH ELIGIBILITY", "✓ MEDIUM ELIGIBILITY", "▲ LOW ELIGIBILITY")</f>
        <v>★ VERY HIGH ELIGIBILITY</v>
      </c>
      <c r="D33" s="26"/>
      <c r="E33" s="26"/>
      <c r="F33" s="26"/>
    </row>
    <row r="34" customFormat="false" ht="31.5" hidden="false" customHeight="true" outlineLevel="0" collapsed="false">
      <c r="B34" s="10" t="s">
        <v>96</v>
      </c>
      <c r="C34" s="27" t="str">
        <f aca="false">CHOOSE(E29, "You're in the top tier.", "You qualify well.", "Eligibility with conditions.", "Build readiness first.")</f>
        <v>You're in the top tier.</v>
      </c>
      <c r="D34" s="28"/>
      <c r="E34" s="28"/>
      <c r="F34" s="28"/>
    </row>
    <row r="36" customFormat="false" ht="23.85" hidden="false" customHeight="false" outlineLevel="0" collapsed="false">
      <c r="B36" s="29" t="s">
        <v>97</v>
      </c>
      <c r="C36" s="14" t="s">
        <v>98</v>
      </c>
    </row>
  </sheetData>
  <dataValidations count="5">
    <dataValidation allowBlank="false" errorStyle="stop" operator="between" showDropDown="false" showErrorMessage="false" showInputMessage="false" sqref="C7" type="list">
      <formula1>"Below Rs. 50 Lakh,Rs. 50 Lakh - 1 Cr,Rs. 1 - 5 Cr,Rs. 5 - 10 Cr,Above Rs. 10 Cr"</formula1>
      <formula2>0</formula2>
    </dataValidation>
    <dataValidation allowBlank="false" errorStyle="stop" operator="between" showDropDown="false" showErrorMessage="false" showInputMessage="false" sqref="C8" type="list">
      <formula1>"Less than 1 year,1 - 2 years,2 - 3 years,3 - 5 years,More than 5 years"</formula1>
      <formula2>0</formula2>
    </dataValidation>
    <dataValidation allowBlank="false" errorStyle="stop" operator="between" showDropDown="false" showErrorMessage="false" showInputMessage="false" sqref="C9" type="list">
      <formula1>"Filing regularly,Mostly regular (1-2 month delays),Multiple delays / pending,Not GST registered"</formula1>
      <formula2>0</formula2>
    </dataValidation>
    <dataValidation allowBlank="false" errorStyle="stop" operator="between" showDropDown="false" showErrorMessage="false" showInputMessage="false" sqref="C10" type="list">
      <formula1>"No existing loans,Less than 10% of monthly turnover/sales,10 - 25% of monthly turnover/sales,25 - 40% of monthly turnover/sales,More than 40% of monthly turnover/sales"</formula1>
      <formula2>0</formula2>
    </dataValidation>
    <dataValidation allowBlank="false" errorStyle="stop" operator="between" showDropDown="false" showErrorMessage="false" showInputMessage="false" sqref="C11" type="list">
      <formula1>"Both clean - good personal + business credit,Good personal credit (no business loans yet),No credit history - never taken any loan,Has past defaults / missed payments / settlements"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2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4" min="3" style="0" width="18"/>
    <col collapsed="false" customWidth="true" hidden="false" outlineLevel="0" max="5" min="5" style="0" width="60"/>
    <col collapsed="false" customWidth="true" hidden="false" outlineLevel="0" max="6" min="6" style="0" width="6"/>
  </cols>
  <sheetData>
    <row r="2" customFormat="false" ht="17.35" hidden="false" customHeight="false" outlineLevel="0" collapsed="false">
      <c r="B2" s="30" t="s">
        <v>99</v>
      </c>
    </row>
    <row r="4" customFormat="false" ht="179.1" hidden="false" customHeight="false" outlineLevel="0" collapsed="false">
      <c r="A4" s="3" t="s">
        <v>100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9" t="s">
        <v>35</v>
      </c>
      <c r="B5" s="9" t="s">
        <v>101</v>
      </c>
      <c r="C5" s="9" t="s">
        <v>38</v>
      </c>
      <c r="D5" s="9" t="s">
        <v>39</v>
      </c>
      <c r="E5" s="9" t="s">
        <v>102</v>
      </c>
      <c r="F5" s="9"/>
    </row>
    <row r="6" customFormat="false" ht="15" hidden="false" customHeight="false" outlineLevel="0" collapsed="false">
      <c r="A6" s="31" t="n">
        <v>1</v>
      </c>
      <c r="B6" s="32" t="s">
        <v>103</v>
      </c>
      <c r="C6" s="33" t="n">
        <v>1</v>
      </c>
      <c r="D6" s="34" t="n">
        <v>4</v>
      </c>
      <c r="E6" s="35" t="s">
        <v>104</v>
      </c>
    </row>
    <row r="7" customFormat="false" ht="15" hidden="false" customHeight="false" outlineLevel="0" collapsed="false">
      <c r="A7" s="36" t="n">
        <v>2</v>
      </c>
      <c r="B7" s="37" t="s">
        <v>105</v>
      </c>
      <c r="C7" s="38" t="n">
        <v>2</v>
      </c>
      <c r="D7" s="39" t="n">
        <v>10</v>
      </c>
      <c r="E7" s="40" t="s">
        <v>106</v>
      </c>
    </row>
    <row r="8" customFormat="false" ht="15" hidden="false" customHeight="false" outlineLevel="0" collapsed="false">
      <c r="A8" s="31" t="n">
        <v>3</v>
      </c>
      <c r="B8" s="32" t="s">
        <v>42</v>
      </c>
      <c r="C8" s="33" t="n">
        <v>3</v>
      </c>
      <c r="D8" s="34" t="n">
        <v>18</v>
      </c>
      <c r="E8" s="35" t="s">
        <v>107</v>
      </c>
    </row>
    <row r="9" customFormat="false" ht="15" hidden="false" customHeight="false" outlineLevel="0" collapsed="false">
      <c r="A9" s="36" t="n">
        <v>4</v>
      </c>
      <c r="B9" s="37" t="s">
        <v>108</v>
      </c>
      <c r="C9" s="38" t="n">
        <v>4</v>
      </c>
      <c r="D9" s="39" t="n">
        <v>23</v>
      </c>
      <c r="E9" s="40" t="s">
        <v>109</v>
      </c>
    </row>
    <row r="10" customFormat="false" ht="15" hidden="false" customHeight="false" outlineLevel="0" collapsed="false">
      <c r="A10" s="31" t="n">
        <v>5</v>
      </c>
      <c r="B10" s="32" t="s">
        <v>110</v>
      </c>
      <c r="C10" s="33" t="n">
        <v>5</v>
      </c>
      <c r="D10" s="34" t="n">
        <v>25</v>
      </c>
      <c r="E10" s="35" t="s">
        <v>111</v>
      </c>
    </row>
    <row r="13" customFormat="false" ht="204.45" hidden="false" customHeight="false" outlineLevel="0" collapsed="false">
      <c r="A13" s="3" t="s">
        <v>112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9" t="s">
        <v>35</v>
      </c>
      <c r="B14" s="9" t="s">
        <v>101</v>
      </c>
      <c r="C14" s="9" t="s">
        <v>38</v>
      </c>
      <c r="D14" s="9" t="s">
        <v>39</v>
      </c>
      <c r="E14" s="9" t="s">
        <v>102</v>
      </c>
      <c r="F14" s="9"/>
    </row>
    <row r="15" customFormat="false" ht="15" hidden="false" customHeight="false" outlineLevel="0" collapsed="false">
      <c r="A15" s="31" t="n">
        <v>1</v>
      </c>
      <c r="B15" s="32" t="s">
        <v>113</v>
      </c>
      <c r="C15" s="33" t="n">
        <v>1</v>
      </c>
      <c r="D15" s="34" t="n">
        <v>0</v>
      </c>
      <c r="E15" s="35" t="s">
        <v>114</v>
      </c>
    </row>
    <row r="16" customFormat="false" ht="15" hidden="false" customHeight="false" outlineLevel="0" collapsed="false">
      <c r="A16" s="36" t="n">
        <v>2</v>
      </c>
      <c r="B16" s="37" t="s">
        <v>115</v>
      </c>
      <c r="C16" s="38" t="n">
        <v>2</v>
      </c>
      <c r="D16" s="39" t="n">
        <v>8</v>
      </c>
      <c r="E16" s="40" t="s">
        <v>116</v>
      </c>
    </row>
    <row r="17" customFormat="false" ht="15" hidden="false" customHeight="false" outlineLevel="0" collapsed="false">
      <c r="A17" s="31" t="n">
        <v>3</v>
      </c>
      <c r="B17" s="32" t="s">
        <v>117</v>
      </c>
      <c r="C17" s="33" t="n">
        <v>3</v>
      </c>
      <c r="D17" s="34" t="n">
        <v>14</v>
      </c>
      <c r="E17" s="35" t="s">
        <v>118</v>
      </c>
    </row>
    <row r="18" customFormat="false" ht="15" hidden="false" customHeight="false" outlineLevel="0" collapsed="false">
      <c r="A18" s="36" t="n">
        <v>4</v>
      </c>
      <c r="B18" s="37" t="s">
        <v>45</v>
      </c>
      <c r="C18" s="38" t="n">
        <v>4</v>
      </c>
      <c r="D18" s="39" t="n">
        <v>18</v>
      </c>
      <c r="E18" s="40" t="s">
        <v>119</v>
      </c>
    </row>
    <row r="19" customFormat="false" ht="15" hidden="false" customHeight="false" outlineLevel="0" collapsed="false">
      <c r="A19" s="31" t="n">
        <v>5</v>
      </c>
      <c r="B19" s="32" t="s">
        <v>120</v>
      </c>
      <c r="C19" s="33" t="n">
        <v>5</v>
      </c>
      <c r="D19" s="34" t="n">
        <v>20</v>
      </c>
      <c r="E19" s="35" t="s">
        <v>121</v>
      </c>
    </row>
    <row r="22" customFormat="false" ht="166.4" hidden="false" customHeight="false" outlineLevel="0" collapsed="false">
      <c r="A22" s="3" t="s">
        <v>122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9" t="s">
        <v>35</v>
      </c>
      <c r="B23" s="9" t="s">
        <v>101</v>
      </c>
      <c r="C23" s="9" t="s">
        <v>38</v>
      </c>
      <c r="D23" s="9" t="s">
        <v>39</v>
      </c>
      <c r="E23" s="9" t="s">
        <v>102</v>
      </c>
      <c r="F23" s="9"/>
    </row>
    <row r="24" customFormat="false" ht="15" hidden="false" customHeight="false" outlineLevel="0" collapsed="false">
      <c r="A24" s="31" t="n">
        <v>1</v>
      </c>
      <c r="B24" s="32" t="s">
        <v>48</v>
      </c>
      <c r="C24" s="33" t="n">
        <v>1</v>
      </c>
      <c r="D24" s="34" t="n">
        <v>15</v>
      </c>
      <c r="E24" s="35" t="s">
        <v>123</v>
      </c>
    </row>
    <row r="25" customFormat="false" ht="15" hidden="false" customHeight="false" outlineLevel="0" collapsed="false">
      <c r="A25" s="36" t="n">
        <v>2</v>
      </c>
      <c r="B25" s="37" t="s">
        <v>124</v>
      </c>
      <c r="C25" s="38" t="n">
        <v>2</v>
      </c>
      <c r="D25" s="39" t="n">
        <v>11</v>
      </c>
      <c r="E25" s="40" t="s">
        <v>125</v>
      </c>
    </row>
    <row r="26" customFormat="false" ht="15" hidden="false" customHeight="false" outlineLevel="0" collapsed="false">
      <c r="A26" s="31" t="n">
        <v>3</v>
      </c>
      <c r="B26" s="32" t="s">
        <v>126</v>
      </c>
      <c r="C26" s="33" t="n">
        <v>3</v>
      </c>
      <c r="D26" s="34" t="n">
        <v>5</v>
      </c>
      <c r="E26" s="35" t="s">
        <v>127</v>
      </c>
    </row>
    <row r="27" customFormat="false" ht="15" hidden="false" customHeight="false" outlineLevel="0" collapsed="false">
      <c r="A27" s="36" t="n">
        <v>4</v>
      </c>
      <c r="B27" s="37" t="s">
        <v>128</v>
      </c>
      <c r="C27" s="38" t="n">
        <v>4</v>
      </c>
      <c r="D27" s="39" t="n">
        <v>6</v>
      </c>
      <c r="E27" s="40" t="s">
        <v>129</v>
      </c>
    </row>
    <row r="30" customFormat="false" ht="179.1" hidden="false" customHeight="false" outlineLevel="0" collapsed="false">
      <c r="A30" s="3" t="s">
        <v>130</v>
      </c>
      <c r="B30" s="3"/>
      <c r="C30" s="3"/>
      <c r="D30" s="3"/>
      <c r="E30" s="3"/>
      <c r="F30" s="3"/>
    </row>
    <row r="31" customFormat="false" ht="15" hidden="false" customHeight="false" outlineLevel="0" collapsed="false">
      <c r="A31" s="9" t="s">
        <v>35</v>
      </c>
      <c r="B31" s="9" t="s">
        <v>101</v>
      </c>
      <c r="C31" s="9" t="s">
        <v>38</v>
      </c>
      <c r="D31" s="9" t="s">
        <v>39</v>
      </c>
      <c r="E31" s="9" t="s">
        <v>102</v>
      </c>
      <c r="F31" s="9"/>
    </row>
    <row r="32" customFormat="false" ht="15" hidden="false" customHeight="false" outlineLevel="0" collapsed="false">
      <c r="A32" s="31" t="n">
        <v>1</v>
      </c>
      <c r="B32" s="32" t="s">
        <v>131</v>
      </c>
      <c r="C32" s="33" t="n">
        <v>1</v>
      </c>
      <c r="D32" s="34" t="n">
        <v>15</v>
      </c>
      <c r="E32" s="35" t="s">
        <v>132</v>
      </c>
    </row>
    <row r="33" customFormat="false" ht="15" hidden="false" customHeight="false" outlineLevel="0" collapsed="false">
      <c r="A33" s="36" t="n">
        <v>2</v>
      </c>
      <c r="B33" s="37" t="s">
        <v>51</v>
      </c>
      <c r="C33" s="38" t="n">
        <v>2</v>
      </c>
      <c r="D33" s="39" t="n">
        <v>13</v>
      </c>
      <c r="E33" s="40" t="s">
        <v>133</v>
      </c>
    </row>
    <row r="34" customFormat="false" ht="15" hidden="false" customHeight="false" outlineLevel="0" collapsed="false">
      <c r="A34" s="31" t="n">
        <v>3</v>
      </c>
      <c r="B34" s="32" t="s">
        <v>134</v>
      </c>
      <c r="C34" s="33" t="n">
        <v>3</v>
      </c>
      <c r="D34" s="34" t="n">
        <v>9</v>
      </c>
      <c r="E34" s="35" t="s">
        <v>135</v>
      </c>
    </row>
    <row r="35" customFormat="false" ht="15" hidden="false" customHeight="false" outlineLevel="0" collapsed="false">
      <c r="A35" s="36" t="n">
        <v>4</v>
      </c>
      <c r="B35" s="37" t="s">
        <v>136</v>
      </c>
      <c r="C35" s="38" t="n">
        <v>4</v>
      </c>
      <c r="D35" s="39" t="n">
        <v>4</v>
      </c>
      <c r="E35" s="40" t="s">
        <v>137</v>
      </c>
    </row>
    <row r="36" customFormat="false" ht="15" hidden="false" customHeight="false" outlineLevel="0" collapsed="false">
      <c r="A36" s="31" t="n">
        <v>5</v>
      </c>
      <c r="B36" s="32" t="s">
        <v>138</v>
      </c>
      <c r="C36" s="33" t="n">
        <v>5</v>
      </c>
      <c r="D36" s="34" t="n">
        <v>1</v>
      </c>
      <c r="E36" s="35" t="s">
        <v>139</v>
      </c>
    </row>
    <row r="39" customFormat="false" ht="356.7" hidden="false" customHeight="false" outlineLevel="0" collapsed="false">
      <c r="A39" s="3" t="s">
        <v>140</v>
      </c>
      <c r="B39" s="3"/>
      <c r="C39" s="3"/>
      <c r="D39" s="3"/>
      <c r="E39" s="3"/>
      <c r="F39" s="3"/>
    </row>
    <row r="40" customFormat="false" ht="15" hidden="false" customHeight="false" outlineLevel="0" collapsed="false">
      <c r="A40" s="9" t="s">
        <v>35</v>
      </c>
      <c r="B40" s="9" t="s">
        <v>101</v>
      </c>
      <c r="C40" s="9" t="s">
        <v>38</v>
      </c>
      <c r="D40" s="9" t="s">
        <v>39</v>
      </c>
      <c r="E40" s="9" t="s">
        <v>102</v>
      </c>
      <c r="F40" s="9"/>
    </row>
    <row r="41" customFormat="false" ht="15" hidden="false" customHeight="false" outlineLevel="0" collapsed="false">
      <c r="A41" s="31" t="n">
        <v>1</v>
      </c>
      <c r="B41" s="32" t="s">
        <v>141</v>
      </c>
      <c r="C41" s="33" t="n">
        <v>1</v>
      </c>
      <c r="D41" s="34" t="n">
        <v>25</v>
      </c>
      <c r="E41" s="35" t="s">
        <v>142</v>
      </c>
    </row>
    <row r="42" customFormat="false" ht="15" hidden="false" customHeight="false" outlineLevel="0" collapsed="false">
      <c r="A42" s="36" t="n">
        <v>2</v>
      </c>
      <c r="B42" s="37" t="s">
        <v>54</v>
      </c>
      <c r="C42" s="38" t="n">
        <v>2</v>
      </c>
      <c r="D42" s="39" t="n">
        <v>20</v>
      </c>
      <c r="E42" s="40" t="s">
        <v>143</v>
      </c>
    </row>
    <row r="43" customFormat="false" ht="15" hidden="false" customHeight="false" outlineLevel="0" collapsed="false">
      <c r="A43" s="31" t="n">
        <v>3</v>
      </c>
      <c r="B43" s="32" t="s">
        <v>144</v>
      </c>
      <c r="C43" s="33" t="n">
        <v>3</v>
      </c>
      <c r="D43" s="34" t="n">
        <v>10</v>
      </c>
      <c r="E43" s="35" t="s">
        <v>145</v>
      </c>
    </row>
    <row r="44" customFormat="false" ht="15" hidden="false" customHeight="false" outlineLevel="0" collapsed="false">
      <c r="A44" s="36" t="n">
        <v>4</v>
      </c>
      <c r="B44" s="37" t="s">
        <v>146</v>
      </c>
      <c r="C44" s="38" t="n">
        <v>4</v>
      </c>
      <c r="D44" s="39" t="n">
        <v>4</v>
      </c>
      <c r="E44" s="40" t="s">
        <v>147</v>
      </c>
    </row>
    <row r="46" customFormat="false" ht="179.1" hidden="false" customHeight="false" outlineLevel="0" collapsed="false">
      <c r="A46" s="3" t="s">
        <v>148</v>
      </c>
      <c r="B46" s="3"/>
      <c r="C46" s="3"/>
      <c r="D46" s="3"/>
      <c r="E46" s="3"/>
      <c r="F46" s="3"/>
    </row>
    <row r="47" customFormat="false" ht="15" hidden="false" customHeight="false" outlineLevel="0" collapsed="false">
      <c r="A47" s="9" t="s">
        <v>35</v>
      </c>
      <c r="B47" s="9" t="s">
        <v>149</v>
      </c>
      <c r="C47" s="9" t="s">
        <v>150</v>
      </c>
      <c r="D47" s="9" t="s">
        <v>88</v>
      </c>
      <c r="E47" s="9" t="s">
        <v>151</v>
      </c>
      <c r="F47" s="9"/>
    </row>
    <row r="48" customFormat="false" ht="15" hidden="false" customHeight="false" outlineLevel="0" collapsed="false">
      <c r="A48" s="31" t="n">
        <v>1</v>
      </c>
      <c r="B48" s="31" t="s">
        <v>152</v>
      </c>
      <c r="C48" s="33" t="n">
        <v>1</v>
      </c>
      <c r="D48" s="41" t="s">
        <v>153</v>
      </c>
      <c r="E48" s="42" t="s">
        <v>154</v>
      </c>
    </row>
    <row r="49" customFormat="false" ht="15" hidden="false" customHeight="false" outlineLevel="0" collapsed="false">
      <c r="A49" s="31" t="n">
        <v>2</v>
      </c>
      <c r="B49" s="31" t="s">
        <v>155</v>
      </c>
      <c r="C49" s="33" t="n">
        <v>2</v>
      </c>
      <c r="D49" s="41" t="s">
        <v>156</v>
      </c>
      <c r="E49" s="42" t="s">
        <v>157</v>
      </c>
    </row>
    <row r="50" customFormat="false" ht="15" hidden="false" customHeight="false" outlineLevel="0" collapsed="false">
      <c r="A50" s="31" t="n">
        <v>3</v>
      </c>
      <c r="B50" s="31" t="s">
        <v>158</v>
      </c>
      <c r="C50" s="33" t="n">
        <v>3</v>
      </c>
      <c r="D50" s="29" t="s">
        <v>159</v>
      </c>
      <c r="E50" s="42" t="s">
        <v>160</v>
      </c>
    </row>
    <row r="51" customFormat="false" ht="15" hidden="false" customHeight="false" outlineLevel="0" collapsed="false">
      <c r="A51" s="31" t="n">
        <v>4</v>
      </c>
      <c r="B51" s="31" t="s">
        <v>161</v>
      </c>
      <c r="C51" s="33" t="n">
        <v>4</v>
      </c>
      <c r="D51" s="43" t="s">
        <v>162</v>
      </c>
      <c r="E51" s="42" t="s">
        <v>163</v>
      </c>
    </row>
    <row r="53" customFormat="false" ht="15" hidden="false" customHeight="false" outlineLevel="0" collapsed="false">
      <c r="A53" s="28"/>
      <c r="B53" s="44" t="s">
        <v>164</v>
      </c>
      <c r="C53" s="33" t="s">
        <v>165</v>
      </c>
      <c r="D53" s="45" t="s">
        <v>162</v>
      </c>
      <c r="E53" s="46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2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28"/>
  </cols>
  <sheetData>
    <row r="2" customFormat="false" ht="17.35" hidden="false" customHeight="false" outlineLevel="0" collapsed="false">
      <c r="B2" s="30" t="s">
        <v>167</v>
      </c>
    </row>
    <row r="4" customFormat="false" ht="90.25" hidden="false" customHeight="false" outlineLevel="0" collapsed="false">
      <c r="A4" s="3" t="s">
        <v>168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9" t="s">
        <v>35</v>
      </c>
      <c r="B5" s="9" t="s">
        <v>169</v>
      </c>
      <c r="C5" s="9" t="s">
        <v>170</v>
      </c>
      <c r="D5" s="9" t="s">
        <v>171</v>
      </c>
      <c r="E5" s="9" t="s">
        <v>172</v>
      </c>
      <c r="F5" s="9" t="s">
        <v>173</v>
      </c>
      <c r="G5" s="9" t="s">
        <v>39</v>
      </c>
      <c r="H5" s="9" t="s">
        <v>174</v>
      </c>
      <c r="I5" s="9" t="s">
        <v>175</v>
      </c>
    </row>
    <row r="6" customFormat="false" ht="23.85" hidden="false" customHeight="false" outlineLevel="0" collapsed="false">
      <c r="A6" s="33" t="n">
        <v>1</v>
      </c>
      <c r="B6" s="47" t="s">
        <v>176</v>
      </c>
      <c r="C6" s="47" t="s">
        <v>177</v>
      </c>
      <c r="D6" s="47" t="s">
        <v>178</v>
      </c>
      <c r="E6" s="47" t="s">
        <v>179</v>
      </c>
      <c r="F6" s="47" t="s">
        <v>180</v>
      </c>
      <c r="G6" s="33" t="n">
        <v>89</v>
      </c>
      <c r="H6" s="48" t="s">
        <v>153</v>
      </c>
      <c r="I6" s="5" t="s">
        <v>181</v>
      </c>
    </row>
    <row r="7" customFormat="false" ht="15" hidden="false" customHeight="false" outlineLevel="0" collapsed="false">
      <c r="A7" s="38" t="n">
        <v>2</v>
      </c>
      <c r="B7" s="49" t="s">
        <v>182</v>
      </c>
      <c r="C7" s="49" t="s">
        <v>183</v>
      </c>
      <c r="D7" s="49" t="s">
        <v>178</v>
      </c>
      <c r="E7" s="49" t="s">
        <v>184</v>
      </c>
      <c r="F7" s="49" t="s">
        <v>180</v>
      </c>
      <c r="G7" s="38" t="n">
        <v>100</v>
      </c>
      <c r="H7" s="50" t="s">
        <v>153</v>
      </c>
      <c r="I7" s="51" t="s">
        <v>185</v>
      </c>
    </row>
    <row r="8" customFormat="false" ht="15" hidden="false" customHeight="false" outlineLevel="0" collapsed="false">
      <c r="A8" s="33" t="n">
        <v>3</v>
      </c>
      <c r="B8" s="47" t="s">
        <v>176</v>
      </c>
      <c r="C8" s="47" t="s">
        <v>186</v>
      </c>
      <c r="D8" s="47" t="s">
        <v>178</v>
      </c>
      <c r="E8" s="47" t="s">
        <v>179</v>
      </c>
      <c r="F8" s="47" t="s">
        <v>187</v>
      </c>
      <c r="G8" s="33" t="n">
        <v>80</v>
      </c>
      <c r="H8" s="48" t="s">
        <v>153</v>
      </c>
      <c r="I8" s="5" t="s">
        <v>188</v>
      </c>
    </row>
    <row r="9" customFormat="false" ht="23.85" hidden="false" customHeight="false" outlineLevel="0" collapsed="false">
      <c r="A9" s="38" t="n">
        <v>4</v>
      </c>
      <c r="B9" s="49" t="s">
        <v>189</v>
      </c>
      <c r="C9" s="49" t="s">
        <v>190</v>
      </c>
      <c r="D9" s="49" t="s">
        <v>191</v>
      </c>
      <c r="E9" s="49" t="s">
        <v>179</v>
      </c>
      <c r="F9" s="49" t="s">
        <v>187</v>
      </c>
      <c r="G9" s="38" t="n">
        <v>47</v>
      </c>
      <c r="H9" s="52" t="s">
        <v>159</v>
      </c>
      <c r="I9" s="51" t="s">
        <v>192</v>
      </c>
    </row>
    <row r="10" customFormat="false" ht="15" hidden="false" customHeight="false" outlineLevel="0" collapsed="false">
      <c r="A10" s="33" t="n">
        <v>5</v>
      </c>
      <c r="B10" s="47" t="s">
        <v>176</v>
      </c>
      <c r="C10" s="47" t="s">
        <v>177</v>
      </c>
      <c r="D10" s="47" t="s">
        <v>178</v>
      </c>
      <c r="E10" s="47" t="s">
        <v>179</v>
      </c>
      <c r="F10" s="47" t="s">
        <v>193</v>
      </c>
      <c r="G10" s="33" t="n">
        <v>74</v>
      </c>
      <c r="H10" s="48" t="s">
        <v>156</v>
      </c>
      <c r="I10" s="5" t="s">
        <v>194</v>
      </c>
    </row>
    <row r="11" customFormat="false" ht="23.85" hidden="false" customHeight="false" outlineLevel="0" collapsed="false">
      <c r="A11" s="38" t="n">
        <v>6</v>
      </c>
      <c r="B11" s="49" t="s">
        <v>182</v>
      </c>
      <c r="C11" s="49" t="s">
        <v>177</v>
      </c>
      <c r="D11" s="49" t="s">
        <v>195</v>
      </c>
      <c r="E11" s="49" t="s">
        <v>196</v>
      </c>
      <c r="F11" s="49" t="s">
        <v>187</v>
      </c>
      <c r="G11" s="38" t="n">
        <v>70</v>
      </c>
      <c r="H11" s="50" t="s">
        <v>156</v>
      </c>
      <c r="I11" s="51" t="s">
        <v>197</v>
      </c>
    </row>
    <row r="12" customFormat="false" ht="15" hidden="false" customHeight="false" outlineLevel="0" collapsed="false">
      <c r="A12" s="33" t="n">
        <v>7</v>
      </c>
      <c r="B12" s="47" t="s">
        <v>198</v>
      </c>
      <c r="C12" s="47" t="s">
        <v>183</v>
      </c>
      <c r="D12" s="47" t="s">
        <v>178</v>
      </c>
      <c r="E12" s="47" t="s">
        <v>179</v>
      </c>
      <c r="F12" s="47" t="s">
        <v>180</v>
      </c>
      <c r="G12" s="33" t="n">
        <v>98</v>
      </c>
      <c r="H12" s="48" t="s">
        <v>153</v>
      </c>
      <c r="I12" s="5" t="s">
        <v>199</v>
      </c>
    </row>
    <row r="13" customFormat="false" ht="15" hidden="false" customHeight="false" outlineLevel="0" collapsed="false">
      <c r="A13" s="38" t="n">
        <v>8</v>
      </c>
      <c r="B13" s="49" t="s">
        <v>176</v>
      </c>
      <c r="C13" s="49" t="s">
        <v>177</v>
      </c>
      <c r="D13" s="49" t="s">
        <v>178</v>
      </c>
      <c r="E13" s="49" t="s">
        <v>179</v>
      </c>
      <c r="F13" s="49" t="s">
        <v>200</v>
      </c>
      <c r="G13" s="38" t="n">
        <v>63</v>
      </c>
      <c r="H13" s="50" t="s">
        <v>156</v>
      </c>
      <c r="I13" s="51" t="s">
        <v>201</v>
      </c>
    </row>
    <row r="14" customFormat="false" ht="15" hidden="false" customHeight="false" outlineLevel="0" collapsed="false">
      <c r="A14" s="33" t="n">
        <v>9</v>
      </c>
      <c r="B14" s="47" t="s">
        <v>176</v>
      </c>
      <c r="C14" s="47" t="s">
        <v>202</v>
      </c>
      <c r="D14" s="47" t="s">
        <v>191</v>
      </c>
      <c r="E14" s="47" t="s">
        <v>196</v>
      </c>
      <c r="F14" s="47" t="s">
        <v>187</v>
      </c>
      <c r="G14" s="33" t="n">
        <v>66</v>
      </c>
      <c r="H14" s="48" t="s">
        <v>156</v>
      </c>
      <c r="I14" s="5" t="s">
        <v>203</v>
      </c>
    </row>
    <row r="15" customFormat="false" ht="23.85" hidden="false" customHeight="false" outlineLevel="0" collapsed="false">
      <c r="A15" s="38" t="n">
        <v>10</v>
      </c>
      <c r="B15" s="49" t="s">
        <v>189</v>
      </c>
      <c r="C15" s="49" t="s">
        <v>190</v>
      </c>
      <c r="D15" s="49" t="s">
        <v>204</v>
      </c>
      <c r="E15" s="49" t="s">
        <v>205</v>
      </c>
      <c r="F15" s="49" t="s">
        <v>193</v>
      </c>
      <c r="G15" s="38" t="n">
        <v>11</v>
      </c>
      <c r="H15" s="53" t="s">
        <v>162</v>
      </c>
      <c r="I15" s="51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2:B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7" t="s">
        <v>207</v>
      </c>
    </row>
    <row r="4" customFormat="false" ht="77.6" hidden="false" customHeight="false" outlineLevel="0" collapsed="false">
      <c r="A4" s="3" t="s">
        <v>208</v>
      </c>
      <c r="B4" s="3"/>
    </row>
    <row r="5" customFormat="false" ht="15" hidden="false" customHeight="false" outlineLevel="0" collapsed="false">
      <c r="B5" s="54" t="s">
        <v>209</v>
      </c>
    </row>
    <row r="6" customFormat="false" ht="15" hidden="false" customHeight="false" outlineLevel="0" collapsed="false">
      <c r="B6" s="54"/>
    </row>
    <row r="7" customFormat="false" ht="15" hidden="false" customHeight="false" outlineLevel="0" collapsed="false">
      <c r="B7" s="54" t="s">
        <v>210</v>
      </c>
    </row>
    <row r="8" customFormat="false" ht="15" hidden="false" customHeight="false" outlineLevel="0" collapsed="false">
      <c r="B8" s="54" t="s">
        <v>211</v>
      </c>
    </row>
    <row r="9" customFormat="false" ht="15" hidden="false" customHeight="false" outlineLevel="0" collapsed="false">
      <c r="B9" s="54" t="s">
        <v>212</v>
      </c>
    </row>
    <row r="10" customFormat="false" ht="15" hidden="false" customHeight="false" outlineLevel="0" collapsed="false">
      <c r="B10" s="54" t="s">
        <v>213</v>
      </c>
    </row>
    <row r="11" customFormat="false" ht="15" hidden="false" customHeight="false" outlineLevel="0" collapsed="false">
      <c r="B11" s="54" t="s">
        <v>214</v>
      </c>
    </row>
    <row r="12" customFormat="false" ht="15" hidden="false" customHeight="false" outlineLevel="0" collapsed="false">
      <c r="B12" s="54" t="s">
        <v>215</v>
      </c>
    </row>
    <row r="13" customFormat="false" ht="15" hidden="false" customHeight="false" outlineLevel="0" collapsed="false">
      <c r="B13" s="54" t="s">
        <v>216</v>
      </c>
    </row>
    <row r="14" customFormat="false" ht="15" hidden="false" customHeight="false" outlineLevel="0" collapsed="false">
      <c r="B14" s="54" t="s">
        <v>217</v>
      </c>
    </row>
    <row r="15" customFormat="false" ht="15" hidden="false" customHeight="false" outlineLevel="0" collapsed="false">
      <c r="B15" s="54" t="s">
        <v>218</v>
      </c>
    </row>
    <row r="16" customFormat="false" ht="15" hidden="false" customHeight="false" outlineLevel="0" collapsed="false">
      <c r="B16" s="54"/>
    </row>
    <row r="17" customFormat="false" ht="15" hidden="false" customHeight="false" outlineLevel="0" collapsed="false">
      <c r="B17" s="54" t="s">
        <v>219</v>
      </c>
    </row>
    <row r="18" customFormat="false" ht="15" hidden="false" customHeight="false" outlineLevel="0" collapsed="false">
      <c r="B18" s="54" t="s">
        <v>211</v>
      </c>
    </row>
    <row r="19" customFormat="false" ht="15" hidden="false" customHeight="false" outlineLevel="0" collapsed="false">
      <c r="B19" s="54" t="s">
        <v>220</v>
      </c>
    </row>
    <row r="20" customFormat="false" ht="15" hidden="false" customHeight="false" outlineLevel="0" collapsed="false">
      <c r="B20" s="54" t="s">
        <v>221</v>
      </c>
    </row>
    <row r="21" customFormat="false" ht="15" hidden="false" customHeight="false" outlineLevel="0" collapsed="false">
      <c r="B21" s="54" t="s">
        <v>222</v>
      </c>
    </row>
    <row r="22" customFormat="false" ht="15" hidden="false" customHeight="false" outlineLevel="0" collapsed="false">
      <c r="B22" s="54" t="s">
        <v>223</v>
      </c>
    </row>
    <row r="23" customFormat="false" ht="15" hidden="false" customHeight="false" outlineLevel="0" collapsed="false">
      <c r="B23" s="54" t="s">
        <v>224</v>
      </c>
    </row>
    <row r="24" customFormat="false" ht="15" hidden="false" customHeight="false" outlineLevel="0" collapsed="false">
      <c r="B24" s="54" t="s">
        <v>225</v>
      </c>
    </row>
    <row r="25" customFormat="false" ht="15" hidden="false" customHeight="false" outlineLevel="0" collapsed="false">
      <c r="B25" s="54" t="s">
        <v>218</v>
      </c>
    </row>
    <row r="28" customFormat="false" ht="64.9" hidden="false" customHeight="false" outlineLevel="0" collapsed="false">
      <c r="A28" s="3" t="s">
        <v>226</v>
      </c>
      <c r="B28" s="3"/>
    </row>
    <row r="29" customFormat="false" ht="15" hidden="false" customHeight="false" outlineLevel="0" collapsed="false">
      <c r="B29" s="54" t="s">
        <v>227</v>
      </c>
    </row>
    <row r="30" customFormat="false" ht="15" hidden="false" customHeight="false" outlineLevel="0" collapsed="false">
      <c r="B30" s="54"/>
    </row>
    <row r="31" customFormat="false" ht="15" hidden="false" customHeight="false" outlineLevel="0" collapsed="false">
      <c r="B31" s="54" t="s">
        <v>228</v>
      </c>
    </row>
    <row r="32" customFormat="false" ht="15" hidden="false" customHeight="false" outlineLevel="0" collapsed="false">
      <c r="B32" s="54" t="s">
        <v>229</v>
      </c>
    </row>
    <row r="33" customFormat="false" ht="15" hidden="false" customHeight="false" outlineLevel="0" collapsed="false">
      <c r="B33" s="54" t="s">
        <v>230</v>
      </c>
    </row>
    <row r="34" customFormat="false" ht="15" hidden="false" customHeight="false" outlineLevel="0" collapsed="false">
      <c r="B34" s="54" t="s">
        <v>231</v>
      </c>
    </row>
    <row r="35" customFormat="false" ht="15" hidden="false" customHeight="false" outlineLevel="0" collapsed="false">
      <c r="B35" s="54" t="s">
        <v>232</v>
      </c>
    </row>
    <row r="36" customFormat="false" ht="15" hidden="false" customHeight="false" outlineLevel="0" collapsed="false">
      <c r="B36" s="54" t="s">
        <v>233</v>
      </c>
    </row>
    <row r="37" customFormat="false" ht="15" hidden="false" customHeight="false" outlineLevel="0" collapsed="false">
      <c r="B37" s="54"/>
    </row>
    <row r="38" customFormat="false" ht="15" hidden="false" customHeight="false" outlineLevel="0" collapsed="false">
      <c r="B38" s="54" t="s">
        <v>234</v>
      </c>
    </row>
    <row r="39" customFormat="false" ht="15" hidden="false" customHeight="false" outlineLevel="0" collapsed="false">
      <c r="B39" s="54" t="s">
        <v>235</v>
      </c>
    </row>
    <row r="40" customFormat="false" ht="15" hidden="false" customHeight="false" outlineLevel="0" collapsed="false">
      <c r="B40" s="54" t="s">
        <v>236</v>
      </c>
    </row>
    <row r="41" customFormat="false" ht="15" hidden="false" customHeight="false" outlineLevel="0" collapsed="false">
      <c r="B41" s="54" t="s">
        <v>237</v>
      </c>
    </row>
    <row r="42" customFormat="false" ht="15" hidden="false" customHeight="false" outlineLevel="0" collapsed="false">
      <c r="B42" s="54" t="s">
        <v>238</v>
      </c>
    </row>
    <row r="43" customFormat="false" ht="15" hidden="false" customHeight="false" outlineLevel="0" collapsed="false">
      <c r="B43" s="54" t="s">
        <v>239</v>
      </c>
    </row>
    <row r="44" customFormat="false" ht="15" hidden="false" customHeight="false" outlineLevel="0" collapsed="false">
      <c r="B44" s="54" t="s">
        <v>240</v>
      </c>
    </row>
    <row r="45" customFormat="false" ht="15" hidden="false" customHeight="false" outlineLevel="0" collapsed="false">
      <c r="B45" s="54" t="s">
        <v>241</v>
      </c>
    </row>
    <row r="46" customFormat="false" ht="15" hidden="false" customHeight="false" outlineLevel="0" collapsed="false">
      <c r="B46" s="54"/>
    </row>
    <row r="47" customFormat="false" ht="15" hidden="false" customHeight="false" outlineLevel="0" collapsed="false">
      <c r="B47" s="54" t="s">
        <v>242</v>
      </c>
    </row>
    <row r="48" customFormat="false" ht="15" hidden="false" customHeight="false" outlineLevel="0" collapsed="false">
      <c r="B48" s="54" t="s">
        <v>243</v>
      </c>
    </row>
    <row r="49" customFormat="false" ht="15" hidden="false" customHeight="false" outlineLevel="0" collapsed="false">
      <c r="B49" s="54" t="s">
        <v>244</v>
      </c>
    </row>
    <row r="50" customFormat="false" ht="15" hidden="false" customHeight="false" outlineLevel="0" collapsed="false">
      <c r="B50" s="54" t="s">
        <v>245</v>
      </c>
    </row>
    <row r="51" customFormat="false" ht="15" hidden="false" customHeight="false" outlineLevel="0" collapsed="false">
      <c r="B51" s="54" t="s">
        <v>246</v>
      </c>
    </row>
    <row r="52" customFormat="false" ht="15" hidden="false" customHeight="false" outlineLevel="0" collapsed="false">
      <c r="B52" s="54" t="s">
        <v>247</v>
      </c>
    </row>
    <row r="53" customFormat="false" ht="15" hidden="false" customHeight="false" outlineLevel="0" collapsed="false">
      <c r="B53" s="54" t="s">
        <v>248</v>
      </c>
    </row>
    <row r="54" customFormat="false" ht="15" hidden="false" customHeight="false" outlineLevel="0" collapsed="false">
      <c r="B54" s="54" t="s">
        <v>249</v>
      </c>
    </row>
    <row r="55" customFormat="false" ht="15" hidden="false" customHeight="false" outlineLevel="0" collapsed="false">
      <c r="B55" s="54" t="s">
        <v>250</v>
      </c>
    </row>
    <row r="56" customFormat="false" ht="15" hidden="false" customHeight="false" outlineLevel="0" collapsed="false">
      <c r="B56" s="54" t="s">
        <v>251</v>
      </c>
    </row>
    <row r="57" customFormat="false" ht="15" hidden="false" customHeight="false" outlineLevel="0" collapsed="false">
      <c r="B57" s="54"/>
    </row>
    <row r="58" customFormat="false" ht="15" hidden="false" customHeight="false" outlineLevel="0" collapsed="false">
      <c r="B58" s="54" t="s">
        <v>252</v>
      </c>
    </row>
    <row r="59" customFormat="false" ht="23.85" hidden="false" customHeight="false" outlineLevel="0" collapsed="false">
      <c r="B59" s="54" t="s">
        <v>253</v>
      </c>
    </row>
    <row r="60" customFormat="false" ht="15" hidden="false" customHeight="false" outlineLevel="0" collapsed="false">
      <c r="B60" s="54" t="s">
        <v>254</v>
      </c>
    </row>
    <row r="61" customFormat="false" ht="15" hidden="false" customHeight="false" outlineLevel="0" collapsed="false">
      <c r="B61" s="54" t="s">
        <v>255</v>
      </c>
    </row>
    <row r="62" customFormat="false" ht="15" hidden="false" customHeight="false" outlineLevel="0" collapsed="false">
      <c r="B62" s="54" t="s">
        <v>256</v>
      </c>
    </row>
    <row r="63" customFormat="false" ht="15" hidden="false" customHeight="false" outlineLevel="0" collapsed="false">
      <c r="B63" s="54" t="s">
        <v>257</v>
      </c>
    </row>
    <row r="64" customFormat="false" ht="15" hidden="false" customHeight="false" outlineLevel="0" collapsed="false">
      <c r="B64" s="54" t="s">
        <v>258</v>
      </c>
    </row>
    <row r="65" customFormat="false" ht="15" hidden="false" customHeight="false" outlineLevel="0" collapsed="false">
      <c r="B65" s="54" t="s">
        <v>259</v>
      </c>
    </row>
    <row r="66" customFormat="false" ht="15" hidden="false" customHeight="false" outlineLevel="0" collapsed="false">
      <c r="B66" s="54" t="s">
        <v>260</v>
      </c>
    </row>
    <row r="67" customFormat="false" ht="15" hidden="false" customHeight="false" outlineLevel="0" collapsed="false">
      <c r="B67" s="54"/>
    </row>
    <row r="68" customFormat="false" ht="15" hidden="false" customHeight="false" outlineLevel="0" collapsed="false">
      <c r="B68" s="54" t="s">
        <v>261</v>
      </c>
    </row>
    <row r="69" customFormat="false" ht="15" hidden="false" customHeight="false" outlineLevel="0" collapsed="false">
      <c r="B69" s="54" t="s">
        <v>262</v>
      </c>
    </row>
    <row r="70" customFormat="false" ht="15" hidden="false" customHeight="false" outlineLevel="0" collapsed="false">
      <c r="B70" s="54" t="s">
        <v>263</v>
      </c>
    </row>
    <row r="71" customFormat="false" ht="15" hidden="false" customHeight="false" outlineLevel="0" collapsed="false">
      <c r="B71" s="54" t="s">
        <v>264</v>
      </c>
    </row>
    <row r="72" customFormat="false" ht="15" hidden="false" customHeight="false" outlineLevel="0" collapsed="false">
      <c r="B72" s="54" t="s">
        <v>265</v>
      </c>
    </row>
    <row r="73" customFormat="false" ht="15" hidden="false" customHeight="false" outlineLevel="0" collapsed="false">
      <c r="B73" s="54" t="s">
        <v>266</v>
      </c>
    </row>
    <row r="74" customFormat="false" ht="15" hidden="false" customHeight="false" outlineLevel="0" collapsed="false">
      <c r="B74" s="54" t="s">
        <v>267</v>
      </c>
    </row>
    <row r="75" customFormat="false" ht="128.35" hidden="false" customHeight="false" outlineLevel="0" collapsed="false">
      <c r="A75" s="3" t="s">
        <v>268</v>
      </c>
      <c r="B75" s="3"/>
    </row>
    <row r="76" customFormat="false" ht="15" hidden="false" customHeight="false" outlineLevel="0" collapsed="false">
      <c r="B76" s="6" t="s">
        <v>269</v>
      </c>
    </row>
    <row r="77" customFormat="false" ht="15" hidden="false" customHeight="false" outlineLevel="0" collapsed="false">
      <c r="B77" s="6"/>
    </row>
    <row r="78" customFormat="false" ht="15" hidden="false" customHeight="false" outlineLevel="0" collapsed="false">
      <c r="B78" s="6" t="s">
        <v>270</v>
      </c>
    </row>
    <row r="79" customFormat="false" ht="15" hidden="false" customHeight="false" outlineLevel="0" collapsed="false">
      <c r="B79" s="6"/>
    </row>
    <row r="80" customFormat="false" ht="15" hidden="false" customHeight="false" outlineLevel="0" collapsed="false">
      <c r="B80" s="6" t="s">
        <v>271</v>
      </c>
    </row>
    <row r="81" customFormat="false" ht="15" hidden="false" customHeight="false" outlineLevel="0" collapsed="false">
      <c r="B81" s="6"/>
    </row>
    <row r="82" customFormat="false" ht="15" hidden="false" customHeight="false" outlineLevel="0" collapsed="false">
      <c r="B82" s="6" t="s">
        <v>272</v>
      </c>
    </row>
    <row r="83" customFormat="false" ht="15" hidden="false" customHeight="false" outlineLevel="0" collapsed="false">
      <c r="B83" s="6" t="s">
        <v>273</v>
      </c>
    </row>
    <row r="84" customFormat="false" ht="15" hidden="false" customHeight="false" outlineLevel="0" collapsed="false">
      <c r="B84" s="6"/>
    </row>
    <row r="85" customFormat="false" ht="15" hidden="false" customHeight="false" outlineLevel="0" collapsed="false">
      <c r="B85" s="6" t="s">
        <v>274</v>
      </c>
    </row>
    <row r="86" customFormat="false" ht="15" hidden="false" customHeight="false" outlineLevel="0" collapsed="false">
      <c r="B86" s="6"/>
    </row>
    <row r="87" customFormat="false" ht="15" hidden="false" customHeight="false" outlineLevel="0" collapsed="false">
      <c r="B87" s="6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2026-04-29T06:14:38Z</dcterms:created>
  <dc:creator>openpyxl</dc:creator>
  <dc:description/>
  <dc:language>en-US</dc:language>
  <cp:lastModifiedBy/>
  <dcterms:modified xsi:type="dcterms:W3CDTF">2026-04-29T06:14:38Z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